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ABELLE\Santander\Curso dashboard\"/>
    </mc:Choice>
  </mc:AlternateContent>
  <xr:revisionPtr revIDLastSave="0" documentId="13_ncr:1_{DE0E5EE3-4C01-4BB9-A960-40154AEFD874}" xr6:coauthVersionLast="47" xr6:coauthVersionMax="47" xr10:uidLastSave="{00000000-0000-0000-0000-000000000000}"/>
  <bookViews>
    <workbookView xWindow="2076" yWindow="948" windowWidth="16980" windowHeight="1111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4" i="3" l="1"/>
  <c r="E22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<sst xmlns="http://schemas.openxmlformats.org/spreadsheetml/2006/main" count="2023" uniqueCount="325">
  <si>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</si>
  <si>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</si>
  <si>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</si>
  <si>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</si>
  <si>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</si>
  <si>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</si>
  <si>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</si>
  <si>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</si>
  <si>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</si>
  <si>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</si>
  <si>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</si>
  <si>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</si>
  <si>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</si>
  <si>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</si>
  <si>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</si>
  <si>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</si>
  <si>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</si>
  <si>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</si>
  <si>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</si>
  <si>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</si>
  <si>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</si>
  <si>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</si>
  <si>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</si>
  <si>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</si>
  <si>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</si>
  <si>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</si>
  <si>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</si>
  <si>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</si>
  <si>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</si>
  <si>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</si>
  <si>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</si>
  <si>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</si>
  <si>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</si>
  <si>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</si>
  <si>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</si>
  <si>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</si>
  <si>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</si>
  <si>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</si>
  <si>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</si>
  <si>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</si>
  <si>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</si>
  <si>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</si>
  <si>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</si>
  <si>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</si>
  <si>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</si>
  <si>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</si>
  <si>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</si>
  <si>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</si>
  <si>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</si>
  <si>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</si>
  <si>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</si>
  <si>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</si>
  <si>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</si>
  <si>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</si>
  <si>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</si>
  <si>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</si>
  <si>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</si>
  <si>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</si>
  <si>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</si>
  <si>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</si>
  <si>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</si>
  <si>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</si>
  <si>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</si>
  <si>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</si>
  <si>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</si>
  <si>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</si>
  <si>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</si>
  <si>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</si>
  <si>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</si>
  <si>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</si>
  <si>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</si>
  <si>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</si>
  <si>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</si>
  <si>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</si>
  <si>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</si>
  <si>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</si>
  <si>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</si>
  <si>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</si>
  <si>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</si>
  <si>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</si>
  <si>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</si>
  <si>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</si>
  <si>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</si>
  <si>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</si>
  <si>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</si>
  <si>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</si>
  <si>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</si>
  <si>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</si>
  <si>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</si>
  <si>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</si>
  <si>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</si>
  <si>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</si>
  <si>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</si>
  <si>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</si>
  <si>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</si>
  <si>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</si>
  <si>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</si>
  <si>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</si>
  <si>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</si>
  <si>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</si>
  <si>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</si>
  <si>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</si>
  <si>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</si>
  <si>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</si>
  <si>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</si>
  <si>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</si>
  <si>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</si>
  <si>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</si>
  <si>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</si>
  <si>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</si>
  <si>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</si>
  <si>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</si>
  <si>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</si>
  <si>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</si>
  <si>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</si>
  <si>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</si>
  <si>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</si>
  <si>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</si>
  <si>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</si>
  <si>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</si>
  <si>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</si>
  <si>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</si>
  <si>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</si>
  <si>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</si>
  <si>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</si>
  <si>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</si>
  <si>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</si>
  <si>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</si>
  <si>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</si>
  <si>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</si>
  <si>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</si>
  <si>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</si>
  <si>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</si>
  <si>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</si>
  <si>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</si>
  <si>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</si>
  <si>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</si>
  <si>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</si>
  <si>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</si>
  <si>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</si>
  <si>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</si>
  <si>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</si>
  <si>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</si>
  <si>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</si>
  <si>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</si>
  <si>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</si>
  <si>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</si>
  <si>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</si>
  <si>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</si>
  <si>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</si>
  <si>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</si>
  <si>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</si>
  <si>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</si>
  <si>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</si>
  <si>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</si>
  <si>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</si>
  <si>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</si>
  <si>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</si>
  <si>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</si>
  <si>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</si>
  <si>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</si>
  <si>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</si>
  <si>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</si>
  <si>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</si>
  <si>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</si>
  <si>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</si>
  <si>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</si>
  <si>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</si>
  <si>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</si>
  <si>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</si>
  <si>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</si>
  <si>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</si>
  <si>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</si>
  <si>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</si>
  <si>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</si>
  <si>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</si>
  <si>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</si>
  <si>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</si>
  <si>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</si>
  <si>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</si>
  <si>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</si>
  <si>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</si>
  <si>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</si>
  <si>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</si>
  <si>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</si>
  <si>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</si>
  <si>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</si>
  <si>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</si>
  <si>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</si>
  <si>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</si>
  <si>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</si>
  <si>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</si>
  <si>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</si>
  <si>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</si>
  <si>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</si>
  <si>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</si>
  <si>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</si>
  <si>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</si>
  <si>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</si>
  <si>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</si>
  <si>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</si>
  <si>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</si>
  <si>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</si>
  <si>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</si>
  <si>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</si>
  <si>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</si>
  <si>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</si>
  <si>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</si>
  <si>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</si>
  <si>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</si>
  <si>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</si>
  <si>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</si>
  <si>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</si>
  <si>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</si>
  <si>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</si>
  <si>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</si>
  <si>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</si>
  <si>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</si>
  <si>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</si>
  <si>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</si>
  <si>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</si>
  <si>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</si>
  <si>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</si>
  <si>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</si>
  <si>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</si>
  <si>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</si>
  <si>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</si>
  <si>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</si>
  <si>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</si>
  <si>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</si>
  <si>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</si>
  <si>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</si>
  <si>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</si>
  <si>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</si>
  <si>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</si>
  <si>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</si>
  <si>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</si>
  <si>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</si>
  <si>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</si>
  <si>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</si>
  <si>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</si>
  <si>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</si>
  <si>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</si>
  <si>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</si>
  <si>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</si>
  <si>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</si>
  <si>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</si>
  <si>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</si>
  <si>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</si>
  <si>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</si>
  <si>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</si>
  <si>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</si>
  <si>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</si>
  <si>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</si>
  <si>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</si>
  <si>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</si>
  <si>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</si>
  <si>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</si>
  <si>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</si>
  <si>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</si>
  <si>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</si>
  <si>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</si>
  <si>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</si>
  <si>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</si>
  <si>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</si>
  <si>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</si>
  <si>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</si>
  <si>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</si>
  <si>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</si>
  <si>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</si>
  <si>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</si>
  <si>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</si>
  <si>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</si>
  <si>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</si>
  <si>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</si>
  <si>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</si>
  <si>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</si>
  <si>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</si>
  <si>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</si>
  <si>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</si>
  <si>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</si>
  <si>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</si>
  <si>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</si>
  <si>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</si>
  <si>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</si>
  <si>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</si>
  <si>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</si>
  <si>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</si>
  <si>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</si>
  <si>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</si>
  <si>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</si>
  <si>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</si>
  <si>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</si>
  <si>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</si>
  <si>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</si>
  <si>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</si>
  <si>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</si>
  <si>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</si>
  <si>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</si>
  <si>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</si>
  <si>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</si>
  <si>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</si>
  <si>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</si>
  <si>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</si>
  <si>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</si>
  <si>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</si>
  <si>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</si>
  <si>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</si>
  <si>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</si>
  <si>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</si>
  <si>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</si>
  <si>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</si>
  <si>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</si>
  <si>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o faturamento total de vendas de planos anuais (contendo todas as assinaturas agregadas)</t>
  </si>
  <si>
    <t>Rótulos de Linha</t>
  </si>
  <si>
    <t>Total Geral</t>
  </si>
  <si>
    <t>Soma de Total Value</t>
  </si>
  <si>
    <t>Pergunta de negócio 2 - Qual o faturamento total de vendas de planos anuai, separado por auto renovação, não é por auto renovação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</si>
  <si>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</si>
  <si>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</si>
  <si>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</si>
  <si>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</si>
  <si>
    <t xml:space="preserve">        XBOX GAME PASS SUBSCRIPTIONS SALES</t>
  </si>
  <si>
    <t>&gt; bem vindo, João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</si>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</sst>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1"/>
      <color rgb="FFF7F8FC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4" fontId="0" fillId="0" borderId="0" xfId="2" applyFont="1"/>
    <xf numFmtId="0" fontId="4" fillId="0" borderId="2" xfId="1" applyFont="1" applyBorder="1"/>
    <xf numFmtId="0" fontId="1" fillId="0" borderId="2" xfId="1" applyBorder="1"/>
    <xf numFmtId="0" fontId="0" fillId="0" borderId="2" xfId="0" applyBorder="1"/>
    <xf numFmtId="0" fontId="5" fillId="4" borderId="0" xfId="0" applyFont="1" applyFill="1" applyAlignment="1">
      <alignment horizontal="center" vertical="center"/>
    </xf>
    <xf numFmtId="0" fontId="6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DCCB3A22-4AAA-4531-8A3D-E9E3E0CBD591}">
      <tableStyleElement type="wholeTable" dxfId="15"/>
      <tableStyleElement type="headerRow" dxfId="14"/>
    </tableStyle>
  </tableStyles>
  <colors>
    <mruColors>
      <color rgb="FFF7F8FC"/>
      <color rgb="FF22C55E"/>
      <color rgb="FF5BF6A8"/>
      <color rgb="FF2AE6B1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[dashboard_vendas_xbox_desafio_dio.xlsx]C̳álculos!tbl_aannual_total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2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5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  <c:pivotFmt>
        <c:idx val="8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solidFill>
                  <a:srgbClr val="5BF6A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FC-4A58-81B6-B9E9988027FD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solidFill>
                  <a:srgbClr val="5BF6A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C-4A58-81B6-B9E9988027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C-4A58-81B6-B9E998802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911455"/>
        <c:axId val="2044907135"/>
      </c:barChart>
      <c:catAx>
        <c:axId val="204491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4907135"/>
        <c:crosses val="autoZero"/>
        <c:auto val="1"/>
        <c:lblAlgn val="ctr"/>
        <c:lblOffset val="100"/>
        <c:noMultiLvlLbl val="0"/>
      </c:catAx>
      <c:valAx>
        <c:axId val="2044907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49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1844675</xdr:colOff>
      <xdr:row>0</xdr:row>
      <xdr:rowOff>0</xdr:rowOff>
    </xdr:from>
    <xdr:to>
      <xdr:col>2</xdr:col>
      <xdr:colOff>433294</xdr:colOff>
      <xdr:row>2</xdr:row>
      <xdr:rowOff>247649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E0F40F-42F0-40E2-BA2B-C3B41355A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" t="1063" r="71117" b="11702"/>
        <a:stretch/>
      </xdr:blipFill>
      <xdr:spPr>
        <a:xfrm>
          <a:off x="1844675" y="0"/>
          <a:ext cx="695325" cy="78553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7</xdr:row>
      <xdr:rowOff>91440</xdr:rowOff>
    </xdr:from>
    <xdr:to>
      <xdr:col>0</xdr:col>
      <xdr:colOff>1838325</xdr:colOff>
      <xdr:row>20</xdr:row>
      <xdr:rowOff>81916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6509391B-ED91-4C4F-BA0A-F8AB25637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343836"/>
              <a:ext cx="1828800" cy="25858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152400</xdr:colOff>
      <xdr:row>5</xdr:row>
      <xdr:rowOff>85727</xdr:rowOff>
    </xdr:from>
    <xdr:to>
      <xdr:col>9</xdr:col>
      <xdr:colOff>600075</xdr:colOff>
      <xdr:row>12</xdr:row>
      <xdr:rowOff>156212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162610B-6D36-6E54-B7D7-B161702B3591}"/>
            </a:ext>
          </a:extLst>
        </xdr:cNvPr>
        <xdr:cNvGrpSpPr/>
      </xdr:nvGrpSpPr>
      <xdr:grpSpPr>
        <a:xfrm>
          <a:off x="2015905" y="1089153"/>
          <a:ext cx="4966863" cy="1466227"/>
          <a:chOff x="2019300" y="1066800"/>
          <a:chExt cx="4962525" cy="147066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E25B796-6111-4F99-3947-3EEF18A36728}"/>
              </a:ext>
            </a:extLst>
          </xdr:cNvPr>
          <xdr:cNvSpPr/>
        </xdr:nvSpPr>
        <xdr:spPr>
          <a:xfrm>
            <a:off x="2019300" y="1066800"/>
            <a:ext cx="4953000" cy="1447800"/>
          </a:xfrm>
          <a:prstGeom prst="roundRect">
            <a:avLst>
              <a:gd name="adj" fmla="val 107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1163F4E-493F-4F61-BA25-2ED50210189C}"/>
              </a:ext>
            </a:extLst>
          </xdr:cNvPr>
          <xdr:cNvSpPr/>
        </xdr:nvSpPr>
        <xdr:spPr>
          <a:xfrm>
            <a:off x="3829050" y="1543050"/>
            <a:ext cx="2438400" cy="809625"/>
          </a:xfrm>
          <a:prstGeom prst="roundRect">
            <a:avLst>
              <a:gd name="adj" fmla="val 107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E7212D7-60F8-418F-B254-1CE456E38F9B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5551C027-E45E-46CB-AB5A-025EBF51DE0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7425" y="1371600"/>
            <a:ext cx="1219200" cy="116586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FB23A031-751A-E8AA-E8E8-7E484FAFE179}"/>
              </a:ext>
            </a:extLst>
          </xdr:cNvPr>
          <xdr:cNvSpPr/>
        </xdr:nvSpPr>
        <xdr:spPr>
          <a:xfrm>
            <a:off x="2019300" y="1066801"/>
            <a:ext cx="4962525" cy="381000"/>
          </a:xfrm>
          <a:prstGeom prst="round2SameRect">
            <a:avLst>
              <a:gd name="adj1" fmla="val 391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 editAs="absolute">
    <xdr:from>
      <xdr:col>10</xdr:col>
      <xdr:colOff>251386</xdr:colOff>
      <xdr:row>5</xdr:row>
      <xdr:rowOff>85727</xdr:rowOff>
    </xdr:from>
    <xdr:to>
      <xdr:col>19</xdr:col>
      <xdr:colOff>8405</xdr:colOff>
      <xdr:row>12</xdr:row>
      <xdr:rowOff>130760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581A0CB0-380C-4870-8FAA-754422F37FED}"/>
            </a:ext>
          </a:extLst>
        </xdr:cNvPr>
        <xdr:cNvGrpSpPr/>
      </xdr:nvGrpSpPr>
      <xdr:grpSpPr>
        <a:xfrm>
          <a:off x="7245188" y="1089153"/>
          <a:ext cx="4977851" cy="1440775"/>
          <a:chOff x="2019300" y="1066800"/>
          <a:chExt cx="4962525" cy="1447800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CB30F8E4-47DD-19E9-7B79-77ECC070EACF}"/>
              </a:ext>
            </a:extLst>
          </xdr:cNvPr>
          <xdr:cNvSpPr/>
        </xdr:nvSpPr>
        <xdr:spPr>
          <a:xfrm>
            <a:off x="2019300" y="1066800"/>
            <a:ext cx="4953000" cy="1447800"/>
          </a:xfrm>
          <a:prstGeom prst="roundRect">
            <a:avLst>
              <a:gd name="adj" fmla="val 1074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B72CE7AF-1E6D-76BF-01CA-37507F2B7B9E}"/>
              </a:ext>
            </a:extLst>
          </xdr:cNvPr>
          <xdr:cNvSpPr/>
        </xdr:nvSpPr>
        <xdr:spPr>
          <a:xfrm>
            <a:off x="3829050" y="1543050"/>
            <a:ext cx="2698323" cy="809625"/>
          </a:xfrm>
          <a:prstGeom prst="roundRect">
            <a:avLst>
              <a:gd name="adj" fmla="val 1074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BD6ABA-FDB5-4BE5-A1BB-2C789E0D9891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R$ 940,00 </a:t>
            </a:fld>
            <a:endParaRPr lang="pt-BR" sz="3600">
              <a:solidFill>
                <a:srgbClr val="22C55E"/>
              </a:solidFill>
            </a:endParaRPr>
          </a:p>
        </xdr:txBody>
      </xdr:sp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54D0FC36-ED3E-5294-9070-D1FE5BF152D4}"/>
              </a:ext>
            </a:extLst>
          </xdr:cNvPr>
          <xdr:cNvSpPr/>
        </xdr:nvSpPr>
        <xdr:spPr>
          <a:xfrm>
            <a:off x="2019300" y="1066801"/>
            <a:ext cx="4962525" cy="381000"/>
          </a:xfrm>
          <a:prstGeom prst="round2SameRect">
            <a:avLst>
              <a:gd name="adj1" fmla="val 391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MINECRAFT SEASON PASS</a:t>
            </a:r>
          </a:p>
        </xdr:txBody>
      </xdr:sp>
    </xdr:grpSp>
    <xdr:clientData/>
  </xdr:twoCellAnchor>
  <xdr:twoCellAnchor editAs="absolute">
    <xdr:from>
      <xdr:col>10</xdr:col>
      <xdr:colOff>537883</xdr:colOff>
      <xdr:row>7</xdr:row>
      <xdr:rowOff>260240</xdr:rowOff>
    </xdr:from>
    <xdr:to>
      <xdr:col>13</xdr:col>
      <xdr:colOff>413947</xdr:colOff>
      <xdr:row>11</xdr:row>
      <xdr:rowOff>26001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BF17BADB-1B7E-4704-A355-BC11D21C51FF}"/>
            </a:ext>
          </a:extLst>
        </xdr:cNvPr>
        <xdr:cNvGrpSpPr/>
      </xdr:nvGrpSpPr>
      <xdr:grpSpPr>
        <a:xfrm>
          <a:off x="7531685" y="1512636"/>
          <a:ext cx="1550955" cy="731464"/>
          <a:chOff x="3495675" y="5400674"/>
          <a:chExt cx="1549476" cy="752476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14F702B7-8C50-6792-D8A9-5DED3A391A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7B5E6252-45A5-B1DB-6128-8C30F9E878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161924</xdr:colOff>
      <xdr:row>13</xdr:row>
      <xdr:rowOff>38222</xdr:rowOff>
    </xdr:from>
    <xdr:to>
      <xdr:col>19</xdr:col>
      <xdr:colOff>1630</xdr:colOff>
      <xdr:row>38</xdr:row>
      <xdr:rowOff>99295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DD657B42-C5E1-475B-E926-5A049A67EE6B}"/>
            </a:ext>
          </a:extLst>
        </xdr:cNvPr>
        <xdr:cNvGrpSpPr/>
      </xdr:nvGrpSpPr>
      <xdr:grpSpPr>
        <a:xfrm>
          <a:off x="2025429" y="2618460"/>
          <a:ext cx="10190835" cy="4587805"/>
          <a:chOff x="2029571" y="2583515"/>
          <a:chExt cx="10199633" cy="454342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99E548A-CA41-95C6-0DB3-67E63CD98A07}"/>
              </a:ext>
            </a:extLst>
          </xdr:cNvPr>
          <xdr:cNvGrpSpPr/>
        </xdr:nvGrpSpPr>
        <xdr:grpSpPr>
          <a:xfrm>
            <a:off x="2029572" y="2583516"/>
            <a:ext cx="10199632" cy="4543425"/>
            <a:chOff x="2019300" y="1000125"/>
            <a:chExt cx="5019675" cy="32956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665C670-2F85-5071-A769-646D12C096EB}"/>
                </a:ext>
              </a:extLst>
            </xdr:cNvPr>
            <xdr:cNvSpPr/>
          </xdr:nvSpPr>
          <xdr:spPr>
            <a:xfrm>
              <a:off x="2019300" y="1000125"/>
              <a:ext cx="5019675" cy="3295650"/>
            </a:xfrm>
            <a:prstGeom prst="roundRect">
              <a:avLst>
                <a:gd name="adj" fmla="val 4649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2F6EF5F-3204-47E8-9F48-07EE4D091D19}"/>
                </a:ext>
              </a:extLst>
            </xdr:cNvPr>
            <xdr:cNvGraphicFramePr>
              <a:graphicFrameLocks/>
            </xdr:cNvGraphicFramePr>
          </xdr:nvGraphicFramePr>
          <xdr:xfrm>
            <a:off x="2238375" y="1526933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65158A5D-B28C-4D6E-A52D-CF3483345F7A}"/>
              </a:ext>
            </a:extLst>
          </xdr:cNvPr>
          <xdr:cNvSpPr/>
        </xdr:nvSpPr>
        <xdr:spPr>
          <a:xfrm>
            <a:off x="2029571" y="2583515"/>
            <a:ext cx="10177369" cy="554131"/>
          </a:xfrm>
          <a:prstGeom prst="round2SameRect">
            <a:avLst>
              <a:gd name="adj1" fmla="val 3916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</a:t>
            </a:r>
            <a:r>
              <a:rPr lang="pt-BR" sz="1100" b="1" baseline="0"/>
              <a:t>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580571</xdr:colOff>
      <xdr:row>1</xdr:row>
      <xdr:rowOff>12095</xdr:rowOff>
    </xdr:from>
    <xdr:to>
      <xdr:col>0</xdr:col>
      <xdr:colOff>1275896</xdr:colOff>
      <xdr:row>3</xdr:row>
      <xdr:rowOff>21893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B57331FD-5264-4AD0-BF7F-813F8AC358A4}"/>
            </a:ext>
          </a:extLst>
        </xdr:cNvPr>
        <xdr:cNvSpPr/>
      </xdr:nvSpPr>
      <xdr:spPr>
        <a:xfrm>
          <a:off x="580571" y="145143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e" refreshedDate="46042.90694375" createdVersion="8" refreshedVersion="8" minRefreshableVersion="3" recordCount="295" xr:uid="{0F07D179-E168-49D3-B796-02072BD60B6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287728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BAA6A-7727-467B-A09A-26E951FE9457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6E812-48EF-4962-8163-E58DA4FC0F31}" name="tbl_a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B6A96-4C7B-47DD-B5B7-DEE85F5E92B1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FAE00E0-5113-470E-B23A-8AC7EFEA9023}" sourceName="Subscription Type">
  <pivotTables>
    <pivotTable tabId="3" name="tbl_aannual_total"/>
    <pivotTable tabId="3" name="tbl_easeasonpass_total"/>
    <pivotTable tabId="3" name="Tabela dinâmica3"/>
  </pivotTables>
  <data>
    <tabular pivotCacheId="32877284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C275121-0170-465C-8634-2D14C5492EFD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6" sqref="B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E34"/>
  <sheetViews>
    <sheetView showGridLines="0" topLeftCell="A13" workbookViewId="0">
      <selection activeCell="B6" sqref="B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1.88671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t="s">
        <v>313</v>
      </c>
    </row>
    <row r="5" spans="2:3" x14ac:dyDescent="0.3">
      <c r="B5" t="s">
        <v>317</v>
      </c>
    </row>
    <row r="6" spans="2:3" x14ac:dyDescent="0.3">
      <c r="B6" s="12" t="s">
        <v>16</v>
      </c>
      <c r="C6" t="s">
        <v>24</v>
      </c>
    </row>
    <row r="8" spans="2:3" x14ac:dyDescent="0.3">
      <c r="B8" s="12" t="s">
        <v>314</v>
      </c>
      <c r="C8" t="s">
        <v>316</v>
      </c>
    </row>
    <row r="9" spans="2:3" x14ac:dyDescent="0.3">
      <c r="B9" s="13" t="s">
        <v>23</v>
      </c>
      <c r="C9" s="14">
        <v>217</v>
      </c>
    </row>
    <row r="10" spans="2:3" x14ac:dyDescent="0.3">
      <c r="B10" s="13" t="s">
        <v>19</v>
      </c>
      <c r="C10" s="14">
        <v>1537</v>
      </c>
    </row>
    <row r="11" spans="2:3" x14ac:dyDescent="0.3">
      <c r="B11" s="13" t="s">
        <v>315</v>
      </c>
      <c r="C11" s="14">
        <v>1754</v>
      </c>
    </row>
    <row r="14" spans="2:3" x14ac:dyDescent="0.3">
      <c r="B14" s="13" t="s">
        <v>318</v>
      </c>
    </row>
    <row r="16" spans="2:3" x14ac:dyDescent="0.3">
      <c r="B16" s="12" t="s">
        <v>16</v>
      </c>
      <c r="C16" t="s">
        <v>24</v>
      </c>
    </row>
    <row r="18" spans="2:5" x14ac:dyDescent="0.3">
      <c r="B18" s="12" t="s">
        <v>314</v>
      </c>
      <c r="C18" t="s">
        <v>319</v>
      </c>
    </row>
    <row r="19" spans="2:5" x14ac:dyDescent="0.3">
      <c r="B19" s="13" t="s">
        <v>22</v>
      </c>
      <c r="C19" s="14">
        <v>0</v>
      </c>
    </row>
    <row r="20" spans="2:5" x14ac:dyDescent="0.3">
      <c r="B20" s="13" t="s">
        <v>26</v>
      </c>
      <c r="C20" s="14">
        <v>0</v>
      </c>
    </row>
    <row r="21" spans="2:5" x14ac:dyDescent="0.3">
      <c r="B21" s="13" t="s">
        <v>18</v>
      </c>
      <c r="C21" s="14">
        <v>600</v>
      </c>
    </row>
    <row r="22" spans="2:5" x14ac:dyDescent="0.3">
      <c r="B22" s="13" t="s">
        <v>315</v>
      </c>
      <c r="C22" s="14">
        <v>600</v>
      </c>
      <c r="E22" s="15">
        <f>GETPIVOTDATA("EA Play Season Pass
Price",$B$18)</f>
        <v>600</v>
      </c>
    </row>
    <row r="25" spans="2:5" x14ac:dyDescent="0.3">
      <c r="B25" s="13" t="s">
        <v>320</v>
      </c>
    </row>
    <row r="28" spans="2:5" x14ac:dyDescent="0.3">
      <c r="B28" s="12" t="s">
        <v>16</v>
      </c>
      <c r="C28" t="s">
        <v>24</v>
      </c>
    </row>
    <row r="30" spans="2:5" x14ac:dyDescent="0.3">
      <c r="B30" s="12" t="s">
        <v>314</v>
      </c>
      <c r="C30" t="s">
        <v>321</v>
      </c>
    </row>
    <row r="31" spans="2:5" x14ac:dyDescent="0.3">
      <c r="B31" s="13" t="s">
        <v>22</v>
      </c>
      <c r="C31" s="14">
        <v>0</v>
      </c>
    </row>
    <row r="32" spans="2:5" x14ac:dyDescent="0.3">
      <c r="B32" s="13" t="s">
        <v>26</v>
      </c>
      <c r="C32" s="14">
        <v>540</v>
      </c>
    </row>
    <row r="33" spans="2:5" x14ac:dyDescent="0.3">
      <c r="B33" s="13" t="s">
        <v>18</v>
      </c>
      <c r="C33" s="14">
        <v>400</v>
      </c>
    </row>
    <row r="34" spans="2:5" x14ac:dyDescent="0.3">
      <c r="B34" s="13" t="s">
        <v>315</v>
      </c>
      <c r="C34" s="14">
        <v>940</v>
      </c>
      <c r="E34" s="16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S101"/>
  <sheetViews>
    <sheetView showGridLines="0" showRowColHeaders="0" tabSelected="1" zoomScale="101" zoomScaleNormal="80" workbookViewId="0">
      <selection activeCell="T27" sqref="T27"/>
    </sheetView>
  </sheetViews>
  <sheetFormatPr defaultRowHeight="14.4" x14ac:dyDescent="0.3"/>
  <cols>
    <col min="1" max="1" width="27.21875" style="4" customWidth="1"/>
    <col min="2" max="2" width="3.5546875" customWidth="1"/>
    <col min="12" max="12" width="6.5546875" customWidth="1"/>
    <col min="19" max="19" width="7.109375" customWidth="1"/>
  </cols>
  <sheetData>
    <row r="1" spans="1:19" ht="10.8" customHeight="1" x14ac:dyDescent="0.3"/>
    <row r="2" spans="1:19" ht="31.2" customHeight="1" thickBot="1" x14ac:dyDescent="0.6">
      <c r="C2" s="17" t="s">
        <v>322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9"/>
      <c r="Q2" s="19"/>
      <c r="R2" s="19"/>
      <c r="S2" s="19"/>
    </row>
    <row r="3" spans="1:19" ht="20.399999999999999" customHeight="1" thickTop="1" x14ac:dyDescent="0.3"/>
    <row r="4" spans="1:19" s="7" customFormat="1" ht="4.2" customHeight="1" x14ac:dyDescent="0.3">
      <c r="A4" s="4"/>
    </row>
    <row r="5" spans="1:19" s="7" customFormat="1" ht="12.6" customHeight="1" x14ac:dyDescent="0.3">
      <c r="A5" s="4"/>
      <c r="C5" s="21" t="s">
        <v>324</v>
      </c>
    </row>
    <row r="6" spans="1:19" s="7" customFormat="1" ht="10.199999999999999" customHeight="1" x14ac:dyDescent="0.3">
      <c r="A6" s="20" t="s">
        <v>323</v>
      </c>
    </row>
    <row r="7" spans="1:19" s="7" customFormat="1" ht="9.75" customHeight="1" x14ac:dyDescent="0.3">
      <c r="A7" s="4"/>
    </row>
    <row r="8" spans="1:19" s="7" customFormat="1" ht="33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Isabelle Teixeira</cp:lastModifiedBy>
  <dcterms:created xsi:type="dcterms:W3CDTF">2024-12-19T13:13:10Z</dcterms:created>
  <dcterms:modified xsi:type="dcterms:W3CDTF">2026-01-22T01:00:26Z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